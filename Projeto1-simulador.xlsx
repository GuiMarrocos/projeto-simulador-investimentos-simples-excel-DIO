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a1adcb168abe3fd/Documentos/DIO-analise-de-dados/"/>
    </mc:Choice>
  </mc:AlternateContent>
  <xr:revisionPtr revIDLastSave="9" documentId="8_{41B79766-56CD-4579-B81F-0C155D30FE11}" xr6:coauthVersionLast="47" xr6:coauthVersionMax="47" xr10:uidLastSave="{D8DC708C-6D93-4DDE-9B24-598E88EE4E4A}"/>
  <bookViews>
    <workbookView xWindow="-108" yWindow="-108" windowWidth="23256" windowHeight="13896" tabRatio="0" xr2:uid="{FDBB34AE-9AD6-49AC-BD02-1FDE682EA6E3}"/>
  </bookViews>
  <sheets>
    <sheet name="SIM" sheetId="1" r:id="rId1"/>
    <sheet name="BaseApoio" sheetId="2" state="hidden" r:id="rId2"/>
  </sheets>
  <definedNames>
    <definedName name="aport">SIM!$C$17</definedName>
    <definedName name="patrimonio">SIM!$B$20</definedName>
    <definedName name="qtde_anos">SIM!$C$18</definedName>
    <definedName name="rendimento_carteira">SIM!$C$25</definedName>
    <definedName name="salario">SIM!$C$24</definedName>
    <definedName name="sugestao_investimento">SIM!$C$26</definedName>
    <definedName name="tx_mensal">SIM!$C$19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6" i="1" l="1"/>
  <c r="D46" i="1" s="1"/>
  <c r="C45" i="1"/>
  <c r="D45" i="1" s="1"/>
  <c r="C44" i="1"/>
  <c r="D44" i="1" s="1"/>
  <c r="C43" i="1"/>
  <c r="D43" i="1" s="1"/>
  <c r="C42" i="1"/>
  <c r="D42" i="1" s="1"/>
  <c r="C41" i="1"/>
  <c r="A19" i="2"/>
  <c r="A12" i="2"/>
  <c r="A18" i="2"/>
  <c r="A17" i="2"/>
  <c r="A16" i="2"/>
  <c r="A15" i="2"/>
  <c r="A14" i="2"/>
  <c r="A13" i="2"/>
  <c r="A11" i="2"/>
  <c r="A10" i="2"/>
  <c r="A9" i="2"/>
  <c r="A8" i="2"/>
  <c r="A7" i="2"/>
  <c r="A6" i="2"/>
  <c r="A5" i="2"/>
  <c r="A4" i="2"/>
  <c r="A3" i="2"/>
  <c r="A2" i="2"/>
  <c r="C38" i="1"/>
  <c r="C20" i="1"/>
  <c r="C21" i="1" s="1"/>
  <c r="C26" i="1"/>
  <c r="C30" i="1"/>
  <c r="D30" i="1" s="1"/>
  <c r="C31" i="1"/>
  <c r="D31" i="1" s="1"/>
  <c r="C32" i="1"/>
  <c r="D32" i="1" s="1"/>
  <c r="C33" i="1"/>
  <c r="D33" i="1" s="1"/>
  <c r="C29" i="1"/>
  <c r="D29" i="1" s="1"/>
  <c r="D41" i="1" l="1"/>
  <c r="D47" i="1" s="1"/>
</calcChain>
</file>

<file path=xl/sharedStrings.xml><?xml version="1.0" encoding="utf-8"?>
<sst xmlns="http://schemas.openxmlformats.org/spreadsheetml/2006/main" count="69" uniqueCount="34">
  <si>
    <t>Quanto investir?</t>
  </si>
  <si>
    <t>Por quanto tempo?</t>
  </si>
  <si>
    <t>TR Mensal?</t>
  </si>
  <si>
    <t>Patrimônio Acumulado?</t>
  </si>
  <si>
    <t>Dividendos Mensais?</t>
  </si>
  <si>
    <t>Investimento Mensal</t>
  </si>
  <si>
    <t>Cenários</t>
  </si>
  <si>
    <t>5 anos</t>
  </si>
  <si>
    <t>10 anos</t>
  </si>
  <si>
    <t>2 anos</t>
  </si>
  <si>
    <t>20 anos</t>
  </si>
  <si>
    <t>Dividendos</t>
  </si>
  <si>
    <t>30 anos</t>
  </si>
  <si>
    <t>Configurações</t>
  </si>
  <si>
    <t>Salário</t>
  </si>
  <si>
    <t>Rendimento da Carteira</t>
  </si>
  <si>
    <t>Sugestão de Investimento</t>
  </si>
  <si>
    <t>Perfis de Investimento</t>
  </si>
  <si>
    <t>Valor a ser Investido po mês</t>
  </si>
  <si>
    <t>Tipo de FI</t>
  </si>
  <si>
    <t>Percentual Sugerido</t>
  </si>
  <si>
    <t>Valores</t>
  </si>
  <si>
    <t>Papel</t>
  </si>
  <si>
    <t>Tijolo</t>
  </si>
  <si>
    <t>Desevolvimento</t>
  </si>
  <si>
    <t>FOFs</t>
  </si>
  <si>
    <t>Híbridos</t>
  </si>
  <si>
    <t>Conservador</t>
  </si>
  <si>
    <t>Perfil</t>
  </si>
  <si>
    <t>%</t>
  </si>
  <si>
    <t>chave</t>
  </si>
  <si>
    <t>Moderado</t>
  </si>
  <si>
    <t>Agressivo</t>
  </si>
  <si>
    <t>Hotelaria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</si>
</sst>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0.000%"/>
    <numFmt numFmtId="165" formatCode="&quot;R$&quot;\ #,##0.000;[Red]\-&quot;R$&quot;\ #,##0.000"/>
    <numFmt numFmtId="166" formatCode="&quot;R$&quot;\ #,##0.0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theme="1"/>
      <name val="Aptos Slab Black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</fills>
  <borders count="4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dashDotDot">
        <color auto="1"/>
      </right>
      <top/>
      <bottom style="dashDotDot">
        <color auto="1"/>
      </bottom>
      <diagonal/>
    </border>
    <border>
      <left style="dashDotDot">
        <color auto="1"/>
      </left>
      <right style="thick">
        <color auto="1"/>
      </right>
      <top/>
      <bottom style="dashDotDot">
        <color auto="1"/>
      </bottom>
      <diagonal/>
    </border>
    <border>
      <left style="thick">
        <color auto="1"/>
      </left>
      <right style="dashDotDot">
        <color auto="1"/>
      </right>
      <top style="dashDotDot">
        <color auto="1"/>
      </top>
      <bottom style="dashDotDot">
        <color auto="1"/>
      </bottom>
      <diagonal/>
    </border>
    <border>
      <left style="dashDotDot">
        <color auto="1"/>
      </left>
      <right style="thick">
        <color auto="1"/>
      </right>
      <top style="dashDotDot">
        <color auto="1"/>
      </top>
      <bottom style="dashDotDot">
        <color auto="1"/>
      </bottom>
      <diagonal/>
    </border>
    <border>
      <left style="thick">
        <color auto="1"/>
      </left>
      <right style="dashDotDot">
        <color auto="1"/>
      </right>
      <top style="dashDotDot">
        <color auto="1"/>
      </top>
      <bottom style="thick">
        <color auto="1"/>
      </bottom>
      <diagonal/>
    </border>
    <border>
      <left style="dashDotDot">
        <color auto="1"/>
      </left>
      <right style="thick">
        <color auto="1"/>
      </right>
      <top style="dashDotDot">
        <color auto="1"/>
      </top>
      <bottom style="thick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thick">
        <color auto="1"/>
      </bottom>
      <diagonal/>
    </border>
    <border>
      <left style="thick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ck">
        <color auto="1"/>
      </right>
      <top/>
      <bottom style="dotted">
        <color auto="1"/>
      </bottom>
      <diagonal/>
    </border>
    <border>
      <left/>
      <right/>
      <top style="thick">
        <color auto="1"/>
      </top>
      <bottom/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dotted">
        <color auto="1"/>
      </bottom>
      <diagonal/>
    </border>
    <border>
      <left style="thick">
        <color auto="1"/>
      </left>
      <right/>
      <top style="thick">
        <color auto="1"/>
      </top>
      <bottom style="dotted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/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/>
      <diagonal/>
    </border>
    <border>
      <left/>
      <right/>
      <top style="dotted">
        <color auto="1"/>
      </top>
      <bottom/>
      <diagonal/>
    </border>
    <border>
      <left/>
      <right style="medium">
        <color auto="1"/>
      </right>
      <top style="dotted">
        <color auto="1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6" fillId="2" borderId="1" xfId="0" applyFont="1" applyFill="1" applyBorder="1"/>
    <xf numFmtId="0" fontId="0" fillId="2" borderId="2" xfId="0" applyFill="1" applyBorder="1"/>
    <xf numFmtId="0" fontId="0" fillId="0" borderId="6" xfId="0" applyBorder="1" applyAlignment="1">
      <alignment horizontal="center"/>
    </xf>
    <xf numFmtId="164" fontId="0" fillId="0" borderId="6" xfId="2" applyNumberFormat="1" applyFont="1" applyBorder="1" applyAlignment="1">
      <alignment horizontal="center"/>
    </xf>
    <xf numFmtId="0" fontId="3" fillId="0" borderId="0" xfId="0" applyFont="1"/>
    <xf numFmtId="0" fontId="5" fillId="3" borderId="15" xfId="0" applyFont="1" applyFill="1" applyBorder="1"/>
    <xf numFmtId="0" fontId="8" fillId="3" borderId="2" xfId="0" applyFont="1" applyFill="1" applyBorder="1" applyAlignment="1">
      <alignment horizontal="right"/>
    </xf>
    <xf numFmtId="166" fontId="0" fillId="0" borderId="4" xfId="1" applyNumberFormat="1" applyFont="1" applyBorder="1" applyAlignment="1">
      <alignment horizontal="center"/>
    </xf>
    <xf numFmtId="0" fontId="6" fillId="4" borderId="20" xfId="0" applyFont="1" applyFill="1" applyBorder="1"/>
    <xf numFmtId="0" fontId="0" fillId="4" borderId="19" xfId="0" applyFill="1" applyBorder="1"/>
    <xf numFmtId="166" fontId="0" fillId="0" borderId="10" xfId="1" applyNumberFormat="1" applyFont="1" applyBorder="1" applyAlignment="1">
      <alignment horizontal="center"/>
    </xf>
    <xf numFmtId="9" fontId="0" fillId="0" borderId="10" xfId="0" applyNumberFormat="1" applyBorder="1" applyAlignment="1">
      <alignment horizontal="center"/>
    </xf>
    <xf numFmtId="0" fontId="7" fillId="3" borderId="1" xfId="0" applyFont="1" applyFill="1" applyBorder="1"/>
    <xf numFmtId="0" fontId="0" fillId="0" borderId="0" xfId="0" applyAlignment="1">
      <alignment horizontal="center"/>
    </xf>
    <xf numFmtId="9" fontId="0" fillId="0" borderId="0" xfId="0" applyNumberFormat="1" applyAlignment="1">
      <alignment horizontal="left"/>
    </xf>
    <xf numFmtId="0" fontId="0" fillId="0" borderId="21" xfId="0" applyBorder="1"/>
    <xf numFmtId="0" fontId="0" fillId="0" borderId="0" xfId="0" applyBorder="1"/>
    <xf numFmtId="0" fontId="0" fillId="0" borderId="22" xfId="0" applyBorder="1"/>
    <xf numFmtId="9" fontId="0" fillId="0" borderId="21" xfId="0" applyNumberFormat="1" applyBorder="1" applyAlignment="1">
      <alignment horizontal="left"/>
    </xf>
    <xf numFmtId="0" fontId="0" fillId="0" borderId="0" xfId="0" applyFill="1" applyBorder="1"/>
    <xf numFmtId="0" fontId="11" fillId="0" borderId="0" xfId="0" applyFont="1"/>
    <xf numFmtId="0" fontId="4" fillId="8" borderId="3" xfId="0" applyFont="1" applyFill="1" applyBorder="1"/>
    <xf numFmtId="0" fontId="4" fillId="8" borderId="5" xfId="0" applyFont="1" applyFill="1" applyBorder="1"/>
    <xf numFmtId="0" fontId="9" fillId="8" borderId="5" xfId="0" applyFont="1" applyFill="1" applyBorder="1"/>
    <xf numFmtId="0" fontId="9" fillId="8" borderId="7" xfId="0" applyFont="1" applyFill="1" applyBorder="1"/>
    <xf numFmtId="8" fontId="2" fillId="8" borderId="6" xfId="0" applyNumberFormat="1" applyFont="1" applyFill="1" applyBorder="1" applyAlignment="1">
      <alignment horizontal="center"/>
    </xf>
    <xf numFmtId="165" fontId="2" fillId="8" borderId="8" xfId="0" applyNumberFormat="1" applyFont="1" applyFill="1" applyBorder="1" applyAlignment="1">
      <alignment horizontal="center"/>
    </xf>
    <xf numFmtId="0" fontId="4" fillId="8" borderId="9" xfId="0" applyFont="1" applyFill="1" applyBorder="1"/>
    <xf numFmtId="0" fontId="4" fillId="8" borderId="11" xfId="0" applyFont="1" applyFill="1" applyBorder="1"/>
    <xf numFmtId="166" fontId="0" fillId="8" borderId="12" xfId="0" applyNumberFormat="1" applyFill="1" applyBorder="1" applyAlignment="1">
      <alignment horizontal="center"/>
    </xf>
    <xf numFmtId="0" fontId="4" fillId="8" borderId="13" xfId="0" applyFont="1" applyFill="1" applyBorder="1"/>
    <xf numFmtId="8" fontId="0" fillId="8" borderId="16" xfId="0" applyNumberFormat="1" applyFill="1" applyBorder="1"/>
    <xf numFmtId="165" fontId="0" fillId="8" borderId="14" xfId="0" applyNumberFormat="1" applyFill="1" applyBorder="1"/>
    <xf numFmtId="8" fontId="0" fillId="8" borderId="17" xfId="0" applyNumberFormat="1" applyFill="1" applyBorder="1"/>
    <xf numFmtId="165" fontId="0" fillId="8" borderId="10" xfId="0" applyNumberFormat="1" applyFill="1" applyBorder="1"/>
    <xf numFmtId="8" fontId="0" fillId="8" borderId="18" xfId="0" applyNumberFormat="1" applyFill="1" applyBorder="1"/>
    <xf numFmtId="165" fontId="0" fillId="8" borderId="12" xfId="0" applyNumberFormat="1" applyFill="1" applyBorder="1"/>
    <xf numFmtId="0" fontId="8" fillId="6" borderId="23" xfId="0" applyFont="1" applyFill="1" applyBorder="1"/>
    <xf numFmtId="0" fontId="10" fillId="6" borderId="24" xfId="0" applyFont="1" applyFill="1" applyBorder="1" applyAlignment="1">
      <alignment horizontal="center"/>
    </xf>
    <xf numFmtId="0" fontId="0" fillId="6" borderId="25" xfId="0" applyFill="1" applyBorder="1"/>
    <xf numFmtId="0" fontId="0" fillId="7" borderId="26" xfId="0" applyFill="1" applyBorder="1"/>
    <xf numFmtId="166" fontId="0" fillId="7" borderId="0" xfId="0" applyNumberFormat="1" applyFill="1" applyBorder="1" applyAlignment="1">
      <alignment horizontal="center"/>
    </xf>
    <xf numFmtId="0" fontId="0" fillId="7" borderId="27" xfId="0" applyFill="1" applyBorder="1"/>
    <xf numFmtId="0" fontId="0" fillId="0" borderId="26" xfId="0" applyBorder="1"/>
    <xf numFmtId="0" fontId="0" fillId="0" borderId="27" xfId="0" applyBorder="1"/>
    <xf numFmtId="0" fontId="0" fillId="9" borderId="23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5" borderId="31" xfId="0" applyFill="1" applyBorder="1"/>
    <xf numFmtId="9" fontId="0" fillId="5" borderId="32" xfId="0" applyNumberFormat="1" applyFill="1" applyBorder="1" applyAlignment="1">
      <alignment horizontal="left"/>
    </xf>
    <xf numFmtId="166" fontId="0" fillId="5" borderId="33" xfId="0" applyNumberFormat="1" applyFill="1" applyBorder="1"/>
    <xf numFmtId="0" fontId="0" fillId="5" borderId="34" xfId="0" applyFill="1" applyBorder="1"/>
    <xf numFmtId="9" fontId="0" fillId="5" borderId="35" xfId="0" applyNumberFormat="1" applyFill="1" applyBorder="1" applyAlignment="1">
      <alignment horizontal="left"/>
    </xf>
    <xf numFmtId="166" fontId="0" fillId="5" borderId="36" xfId="0" applyNumberFormat="1" applyFill="1" applyBorder="1"/>
    <xf numFmtId="0" fontId="0" fillId="5" borderId="37" xfId="0" applyFill="1" applyBorder="1"/>
    <xf numFmtId="9" fontId="0" fillId="5" borderId="38" xfId="0" applyNumberFormat="1" applyFill="1" applyBorder="1" applyAlignment="1">
      <alignment horizontal="left"/>
    </xf>
    <xf numFmtId="166" fontId="0" fillId="5" borderId="39" xfId="0" applyNumberFormat="1" applyFill="1" applyBorder="1"/>
    <xf numFmtId="0" fontId="2" fillId="7" borderId="28" xfId="0" applyFont="1" applyFill="1" applyBorder="1"/>
    <xf numFmtId="9" fontId="2" fillId="7" borderId="29" xfId="0" applyNumberFormat="1" applyFont="1" applyFill="1" applyBorder="1" applyAlignment="1">
      <alignment horizontal="left"/>
    </xf>
    <xf numFmtId="166" fontId="2" fillId="7" borderId="30" xfId="0" applyNumberFormat="1" applyFont="1" applyFill="1" applyBorder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explosion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4EC-4299-8067-7DA26F4CA91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4EC-4299-8067-7DA26F4CA91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84EC-4299-8067-7DA26F4CA91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4EC-4299-8067-7DA26F4CA91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84EC-4299-8067-7DA26F4CA91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4EC-4299-8067-7DA26F4CA91B}"/>
              </c:ext>
            </c:extLst>
          </c:dPt>
          <c:dLbls>
            <c:dLbl>
              <c:idx val="0"/>
              <c:layout>
                <c:manualLayout>
                  <c:x val="-1.6813867016622921E-2"/>
                  <c:y val="-2.6385243511227764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4EC-4299-8067-7DA26F4CA91B}"/>
                </c:ext>
              </c:extLst>
            </c:dLbl>
            <c:dLbl>
              <c:idx val="1"/>
              <c:layout>
                <c:manualLayout>
                  <c:x val="1.4990594925634296E-2"/>
                  <c:y val="-1.840551181102362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4EC-4299-8067-7DA26F4CA91B}"/>
                </c:ext>
              </c:extLst>
            </c:dLbl>
            <c:dLbl>
              <c:idx val="2"/>
              <c:layout>
                <c:manualLayout>
                  <c:x val="2.1060148731408573E-2"/>
                  <c:y val="-9.6628025663458728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4EC-4299-8067-7DA26F4CA91B}"/>
                </c:ext>
              </c:extLst>
            </c:dLbl>
            <c:dLbl>
              <c:idx val="3"/>
              <c:layout>
                <c:manualLayout>
                  <c:x val="5.3537839020122487E-3"/>
                  <c:y val="1.9911052785068534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4EC-4299-8067-7DA26F4CA91B}"/>
                </c:ext>
              </c:extLst>
            </c:dLbl>
            <c:dLbl>
              <c:idx val="4"/>
              <c:layout>
                <c:manualLayout>
                  <c:x val="1.272681539807524E-2"/>
                  <c:y val="9.0157480314960632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4EC-4299-8067-7DA26F4CA91B}"/>
                </c:ext>
              </c:extLst>
            </c:dLbl>
            <c:dLbl>
              <c:idx val="5"/>
              <c:layout>
                <c:manualLayout>
                  <c:x val="9.4350393700787395E-3"/>
                  <c:y val="1.312882764654418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4EC-4299-8067-7DA26F4CA91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SIM!$B$41:$B$46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Desevolvimento</c:v>
                </c:pt>
                <c:pt idx="4">
                  <c:v>FOFs</c:v>
                </c:pt>
                <c:pt idx="5">
                  <c:v>Hotelaria</c:v>
                </c:pt>
              </c:strCache>
            </c:strRef>
          </c:cat>
          <c:val>
            <c:numRef>
              <c:f>SIM!$C$41:$C$46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0.2</c:v>
                </c:pt>
                <c:pt idx="4">
                  <c:v>0.05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EC-4299-8067-7DA26F4CA91B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SIM!$B$41:$B$46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Desevolvimento</c:v>
                </c:pt>
                <c:pt idx="4">
                  <c:v>FOFs</c:v>
                </c:pt>
                <c:pt idx="5">
                  <c:v>Hotelaria</c:v>
                </c:pt>
              </c:strCache>
            </c:strRef>
          </c:cat>
          <c:val>
            <c:numRef>
              <c:f>SIM!$D$41:$D$46</c:f>
              <c:numCache>
                <c:formatCode>"R$"\ #,##0.00</c:formatCode>
                <c:ptCount val="6"/>
                <c:pt idx="0">
                  <c:v>375</c:v>
                </c:pt>
                <c:pt idx="1">
                  <c:v>75</c:v>
                </c:pt>
                <c:pt idx="2">
                  <c:v>37.5</c:v>
                </c:pt>
                <c:pt idx="3">
                  <c:v>150</c:v>
                </c:pt>
                <c:pt idx="4">
                  <c:v>37.5</c:v>
                </c:pt>
                <c:pt idx="5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EC-4299-8067-7DA26F4CA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16384</xdr:col>
      <xdr:colOff>7620</xdr:colOff>
      <xdr:row>14</xdr:row>
      <xdr:rowOff>11430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23845E4D-21A8-B7AE-26A9-4FE3A1707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995160" cy="2571750"/>
        </a:xfrm>
        <a:prstGeom prst="rect">
          <a:avLst/>
        </a:prstGeom>
      </xdr:spPr>
    </xdr:pic>
    <xdr:clientData/>
  </xdr:twoCellAnchor>
  <xdr:twoCellAnchor>
    <xdr:from>
      <xdr:col>0</xdr:col>
      <xdr:colOff>83820</xdr:colOff>
      <xdr:row>0</xdr:row>
      <xdr:rowOff>15240</xdr:rowOff>
    </xdr:from>
    <xdr:to>
      <xdr:col>2</xdr:col>
      <xdr:colOff>632460</xdr:colOff>
      <xdr:row>12</xdr:row>
      <xdr:rowOff>114300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92988724-DFCA-8EA5-8B24-F9785E207577}"/>
            </a:ext>
          </a:extLst>
        </xdr:cNvPr>
        <xdr:cNvSpPr txBox="1"/>
      </xdr:nvSpPr>
      <xdr:spPr>
        <a:xfrm>
          <a:off x="83820" y="15240"/>
          <a:ext cx="3573780" cy="2293620"/>
        </a:xfrm>
        <a:prstGeom prst="rect">
          <a:avLst/>
        </a:prstGeom>
        <a:solidFill>
          <a:schemeClr val="tx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2400">
              <a:solidFill>
                <a:schemeClr val="bg1"/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Projeto DIO - Simulado</a:t>
          </a:r>
          <a:r>
            <a:rPr lang="pt-BR" sz="2400" baseline="0">
              <a:solidFill>
                <a:schemeClr val="bg1"/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 de Investimentos Simples</a:t>
          </a:r>
        </a:p>
      </xdr:txBody>
    </xdr:sp>
    <xdr:clientData/>
  </xdr:twoCellAnchor>
  <xdr:twoCellAnchor>
    <xdr:from>
      <xdr:col>1</xdr:col>
      <xdr:colOff>613410</xdr:colOff>
      <xdr:row>47</xdr:row>
      <xdr:rowOff>64770</xdr:rowOff>
    </xdr:from>
    <xdr:to>
      <xdr:col>2</xdr:col>
      <xdr:colOff>2411730</xdr:colOff>
      <xdr:row>62</xdr:row>
      <xdr:rowOff>64770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1CAB3BE-810E-A246-103D-437F315278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E8FA2-50AA-417D-8839-927A176832EA}">
  <dimension ref="A15:H69"/>
  <sheetViews>
    <sheetView showGridLines="0" showRowColHeaders="0" tabSelected="1" topLeftCell="A29" workbookViewId="0">
      <selection activeCell="E53" sqref="E53"/>
    </sheetView>
  </sheetViews>
  <sheetFormatPr defaultColWidth="0" defaultRowHeight="14.4" x14ac:dyDescent="0.3"/>
  <cols>
    <col min="1" max="1" width="3.6640625" customWidth="1"/>
    <col min="2" max="2" width="40.44140625" bestFit="1" customWidth="1"/>
    <col min="3" max="3" width="35.6640625" customWidth="1"/>
    <col min="4" max="4" width="17.109375" customWidth="1"/>
    <col min="5" max="5" width="5" customWidth="1"/>
    <col min="6" max="6" width="2.88671875" hidden="1" customWidth="1"/>
    <col min="7" max="7" width="4.21875" hidden="1" customWidth="1"/>
    <col min="8" max="8" width="4.5546875" hidden="1" customWidth="1"/>
    <col min="9" max="16384" width="8.88671875" hidden="1"/>
  </cols>
  <sheetData>
    <row r="15" spans="2:3" ht="15" thickBot="1" x14ac:dyDescent="0.35"/>
    <row r="16" spans="2:3" ht="31.8" thickTop="1" x14ac:dyDescent="0.6">
      <c r="B16" s="1" t="s">
        <v>5</v>
      </c>
      <c r="C16" s="2"/>
    </row>
    <row r="17" spans="1:4" ht="15.6" x14ac:dyDescent="0.3">
      <c r="B17" s="22" t="s">
        <v>0</v>
      </c>
      <c r="C17" s="8">
        <v>750</v>
      </c>
    </row>
    <row r="18" spans="1:4" ht="15.6" x14ac:dyDescent="0.3">
      <c r="A18" s="5">
        <v>2</v>
      </c>
      <c r="B18" s="23" t="s">
        <v>1</v>
      </c>
      <c r="C18" s="3">
        <v>5</v>
      </c>
    </row>
    <row r="19" spans="1:4" ht="15.6" x14ac:dyDescent="0.3">
      <c r="A19" s="5">
        <v>5</v>
      </c>
      <c r="B19" s="23" t="s">
        <v>2</v>
      </c>
      <c r="C19" s="4">
        <v>1.0789999999999999E-2</v>
      </c>
      <c r="D19" s="21"/>
    </row>
    <row r="20" spans="1:4" ht="15.6" x14ac:dyDescent="0.3">
      <c r="A20" s="5">
        <v>10</v>
      </c>
      <c r="B20" s="24" t="s">
        <v>3</v>
      </c>
      <c r="C20" s="26">
        <f>FV(tx_mensal,qtde_anos*12,aport*-1)</f>
        <v>62832.685498865736</v>
      </c>
    </row>
    <row r="21" spans="1:4" ht="16.2" thickBot="1" x14ac:dyDescent="0.35">
      <c r="A21" s="5">
        <v>20</v>
      </c>
      <c r="B21" s="25" t="s">
        <v>4</v>
      </c>
      <c r="C21" s="27">
        <f>C20*C25</f>
        <v>628.32685498865737</v>
      </c>
    </row>
    <row r="22" spans="1:4" ht="15.6" thickTop="1" thickBot="1" x14ac:dyDescent="0.35">
      <c r="A22" s="5">
        <v>30</v>
      </c>
    </row>
    <row r="23" spans="1:4" ht="31.8" thickTop="1" x14ac:dyDescent="0.6">
      <c r="B23" s="9" t="s">
        <v>13</v>
      </c>
      <c r="C23" s="10"/>
    </row>
    <row r="24" spans="1:4" ht="15.6" x14ac:dyDescent="0.3">
      <c r="B24" s="28" t="s">
        <v>14</v>
      </c>
      <c r="C24" s="11">
        <v>5000</v>
      </c>
    </row>
    <row r="25" spans="1:4" ht="15.6" x14ac:dyDescent="0.3">
      <c r="B25" s="28" t="s">
        <v>15</v>
      </c>
      <c r="C25" s="12">
        <v>0.01</v>
      </c>
    </row>
    <row r="26" spans="1:4" ht="16.2" thickBot="1" x14ac:dyDescent="0.35">
      <c r="B26" s="29" t="s">
        <v>16</v>
      </c>
      <c r="C26" s="30">
        <f>C24*0.3</f>
        <v>1500</v>
      </c>
    </row>
    <row r="27" spans="1:4" ht="15.6" thickTop="1" thickBot="1" x14ac:dyDescent="0.35"/>
    <row r="28" spans="1:4" ht="24" thickTop="1" x14ac:dyDescent="0.45">
      <c r="B28" s="13" t="s">
        <v>6</v>
      </c>
      <c r="C28" s="6"/>
      <c r="D28" s="7" t="s">
        <v>11</v>
      </c>
    </row>
    <row r="29" spans="1:4" ht="15.6" x14ac:dyDescent="0.3">
      <c r="B29" s="31" t="s">
        <v>9</v>
      </c>
      <c r="C29" s="32">
        <f>FV($C$19,$A18*12,$C$17*-1)</f>
        <v>20420.720473233912</v>
      </c>
      <c r="D29" s="33">
        <f>C29*rendimento_carteira</f>
        <v>204.20720473233914</v>
      </c>
    </row>
    <row r="30" spans="1:4" ht="15.6" x14ac:dyDescent="0.3">
      <c r="B30" s="28" t="s">
        <v>7</v>
      </c>
      <c r="C30" s="34">
        <f>FV($C$19,$A19*12,$C$17*-1)</f>
        <v>62832.685498865736</v>
      </c>
      <c r="D30" s="35">
        <f>C30*rendimento_carteira</f>
        <v>628.32685498865737</v>
      </c>
    </row>
    <row r="31" spans="1:4" ht="15.6" x14ac:dyDescent="0.3">
      <c r="B31" s="28" t="s">
        <v>8</v>
      </c>
      <c r="C31" s="34">
        <f>FV($C$19,$A20*12,$C$17*-1)</f>
        <v>182463.15939762915</v>
      </c>
      <c r="D31" s="35">
        <f>C31*rendimento_carteira</f>
        <v>1824.6315939762915</v>
      </c>
    </row>
    <row r="32" spans="1:4" ht="15.6" x14ac:dyDescent="0.3">
      <c r="B32" s="28" t="s">
        <v>10</v>
      </c>
      <c r="C32" s="34">
        <f>FV($C$19,$A21*12,$C$17*-1)</f>
        <v>843898.8000728105</v>
      </c>
      <c r="D32" s="35">
        <f>C32*rendimento_carteira</f>
        <v>8438.9880007281045</v>
      </c>
    </row>
    <row r="33" spans="2:4" ht="16.2" thickBot="1" x14ac:dyDescent="0.35">
      <c r="B33" s="29" t="s">
        <v>12</v>
      </c>
      <c r="C33" s="36">
        <f>FV($C$19,$A22*12,$C$17*-1)</f>
        <v>3241627.2412535357</v>
      </c>
      <c r="D33" s="37">
        <f>C33*rendimento_carteira</f>
        <v>32416.27241253536</v>
      </c>
    </row>
    <row r="34" spans="2:4" ht="15" thickTop="1" x14ac:dyDescent="0.3"/>
    <row r="36" spans="2:4" ht="15" thickBot="1" x14ac:dyDescent="0.35"/>
    <row r="37" spans="2:4" ht="18" x14ac:dyDescent="0.35">
      <c r="B37" s="38" t="s">
        <v>17</v>
      </c>
      <c r="C37" s="39" t="s">
        <v>32</v>
      </c>
      <c r="D37" s="40"/>
    </row>
    <row r="38" spans="2:4" x14ac:dyDescent="0.3">
      <c r="B38" s="41" t="s">
        <v>18</v>
      </c>
      <c r="C38" s="42">
        <f>aport</f>
        <v>750</v>
      </c>
      <c r="D38" s="43"/>
    </row>
    <row r="39" spans="2:4" ht="15" thickBot="1" x14ac:dyDescent="0.35">
      <c r="B39" s="44"/>
      <c r="C39" s="17"/>
      <c r="D39" s="45"/>
    </row>
    <row r="40" spans="2:4" x14ac:dyDescent="0.3">
      <c r="B40" s="46" t="s">
        <v>19</v>
      </c>
      <c r="C40" s="47" t="s">
        <v>20</v>
      </c>
      <c r="D40" s="48" t="s">
        <v>21</v>
      </c>
    </row>
    <row r="41" spans="2:4" x14ac:dyDescent="0.3">
      <c r="B41" s="49" t="s">
        <v>22</v>
      </c>
      <c r="C41" s="50">
        <f>VLOOKUP($C$37&amp;"-"&amp;B41,BaseApoio!$A$1:$D$19,4,0)</f>
        <v>0.5</v>
      </c>
      <c r="D41" s="51">
        <f>C41*$C$38</f>
        <v>375</v>
      </c>
    </row>
    <row r="42" spans="2:4" x14ac:dyDescent="0.3">
      <c r="B42" s="52" t="s">
        <v>23</v>
      </c>
      <c r="C42" s="53">
        <f>VLOOKUP($C$37&amp;"-"&amp;B42,BaseApoio!$A$1:$D$19,4,0)</f>
        <v>0.1</v>
      </c>
      <c r="D42" s="54">
        <f t="shared" ref="D42:D46" si="0">C42*$C$38</f>
        <v>75</v>
      </c>
    </row>
    <row r="43" spans="2:4" x14ac:dyDescent="0.3">
      <c r="B43" s="52" t="s">
        <v>26</v>
      </c>
      <c r="C43" s="53">
        <f>VLOOKUP($C$37&amp;"-"&amp;B43,BaseApoio!$A$1:$D$19,4,0)</f>
        <v>0.05</v>
      </c>
      <c r="D43" s="54">
        <f t="shared" si="0"/>
        <v>37.5</v>
      </c>
    </row>
    <row r="44" spans="2:4" x14ac:dyDescent="0.3">
      <c r="B44" s="52" t="s">
        <v>24</v>
      </c>
      <c r="C44" s="53">
        <f>VLOOKUP($C$37&amp;"-"&amp;B44,BaseApoio!$A$1:$D$19,4,0)</f>
        <v>0.2</v>
      </c>
      <c r="D44" s="54">
        <f t="shared" si="0"/>
        <v>150</v>
      </c>
    </row>
    <row r="45" spans="2:4" x14ac:dyDescent="0.3">
      <c r="B45" s="52" t="s">
        <v>25</v>
      </c>
      <c r="C45" s="53">
        <f>VLOOKUP($C$37&amp;"-"&amp;B45,BaseApoio!$A$1:$D$19,4,0)</f>
        <v>0.05</v>
      </c>
      <c r="D45" s="54">
        <f t="shared" si="0"/>
        <v>37.5</v>
      </c>
    </row>
    <row r="46" spans="2:4" x14ac:dyDescent="0.3">
      <c r="B46" s="55" t="s">
        <v>33</v>
      </c>
      <c r="C46" s="56">
        <f>VLOOKUP($C$37&amp;"-"&amp;B46,BaseApoio!$A$1:$D$19,4,0)</f>
        <v>0.1</v>
      </c>
      <c r="D46" s="57">
        <f t="shared" si="0"/>
        <v>75</v>
      </c>
    </row>
    <row r="47" spans="2:4" ht="15" thickBot="1" x14ac:dyDescent="0.35">
      <c r="B47" s="58"/>
      <c r="C47" s="59"/>
      <c r="D47" s="60">
        <f>SUM(D41:D46)</f>
        <v>750</v>
      </c>
    </row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</sheetData>
  <dataValidations count="1">
    <dataValidation type="list" allowBlank="1" showInputMessage="1" showErrorMessage="1" sqref="C37" xr:uid="{E1DB4325-3440-4000-A037-5FFCFE24D42C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5F031-040A-45C4-B158-26A254A04689}">
  <dimension ref="A1:D19"/>
  <sheetViews>
    <sheetView workbookViewId="0">
      <selection activeCell="D19" sqref="D19"/>
    </sheetView>
  </sheetViews>
  <sheetFormatPr defaultRowHeight="14.4" x14ac:dyDescent="0.3"/>
  <cols>
    <col min="1" max="1" width="24.88671875" bestFit="1" customWidth="1"/>
    <col min="3" max="3" width="13.77734375" bestFit="1" customWidth="1"/>
  </cols>
  <sheetData>
    <row r="1" spans="1:4" x14ac:dyDescent="0.3">
      <c r="A1" t="s">
        <v>30</v>
      </c>
      <c r="B1" t="s">
        <v>28</v>
      </c>
      <c r="C1" s="14" t="s">
        <v>19</v>
      </c>
      <c r="D1" t="s">
        <v>29</v>
      </c>
    </row>
    <row r="2" spans="1:4" x14ac:dyDescent="0.3">
      <c r="A2" t="str">
        <f>B2&amp;"-"&amp;C2</f>
        <v>Conservador-Papel</v>
      </c>
      <c r="B2" t="s">
        <v>27</v>
      </c>
      <c r="C2" t="s">
        <v>22</v>
      </c>
      <c r="D2" s="15">
        <v>0.3</v>
      </c>
    </row>
    <row r="3" spans="1:4" x14ac:dyDescent="0.3">
      <c r="A3" t="str">
        <f t="shared" ref="A3:A19" si="0">B3&amp;"-"&amp;C3</f>
        <v>Conservador-Tijolo</v>
      </c>
      <c r="B3" t="s">
        <v>27</v>
      </c>
      <c r="C3" t="s">
        <v>23</v>
      </c>
      <c r="D3" s="15">
        <v>0.5</v>
      </c>
    </row>
    <row r="4" spans="1:4" x14ac:dyDescent="0.3">
      <c r="A4" t="str">
        <f t="shared" si="0"/>
        <v>Conservador-Híbridos</v>
      </c>
      <c r="B4" t="s">
        <v>27</v>
      </c>
      <c r="C4" t="s">
        <v>26</v>
      </c>
      <c r="D4" s="15">
        <v>0.1</v>
      </c>
    </row>
    <row r="5" spans="1:4" x14ac:dyDescent="0.3">
      <c r="A5" t="str">
        <f t="shared" si="0"/>
        <v>Conservador-Desevolvimento</v>
      </c>
      <c r="B5" t="s">
        <v>27</v>
      </c>
      <c r="C5" t="s">
        <v>24</v>
      </c>
      <c r="D5" s="15">
        <v>0</v>
      </c>
    </row>
    <row r="6" spans="1:4" x14ac:dyDescent="0.3">
      <c r="A6" t="str">
        <f t="shared" si="0"/>
        <v>Conservador-FOFs</v>
      </c>
      <c r="B6" t="s">
        <v>27</v>
      </c>
      <c r="C6" t="s">
        <v>25</v>
      </c>
      <c r="D6" s="15">
        <v>0.1</v>
      </c>
    </row>
    <row r="7" spans="1:4" x14ac:dyDescent="0.3">
      <c r="A7" t="str">
        <f t="shared" si="0"/>
        <v>Conservador-Hotelaria</v>
      </c>
      <c r="B7" t="s">
        <v>27</v>
      </c>
      <c r="C7" t="s">
        <v>33</v>
      </c>
      <c r="D7" s="15">
        <v>0</v>
      </c>
    </row>
    <row r="8" spans="1:4" x14ac:dyDescent="0.3">
      <c r="A8" s="16" t="str">
        <f t="shared" si="0"/>
        <v>Moderado-Papel</v>
      </c>
      <c r="B8" s="16" t="s">
        <v>31</v>
      </c>
      <c r="C8" s="16" t="s">
        <v>22</v>
      </c>
      <c r="D8" s="19">
        <v>0.32</v>
      </c>
    </row>
    <row r="9" spans="1:4" x14ac:dyDescent="0.3">
      <c r="A9" s="17" t="str">
        <f t="shared" si="0"/>
        <v>Moderado-Tijolo</v>
      </c>
      <c r="B9" s="17" t="s">
        <v>31</v>
      </c>
      <c r="C9" s="17" t="s">
        <v>23</v>
      </c>
      <c r="D9" s="15">
        <v>0.4</v>
      </c>
    </row>
    <row r="10" spans="1:4" x14ac:dyDescent="0.3">
      <c r="A10" s="17" t="str">
        <f t="shared" si="0"/>
        <v>Moderado-Híbridos</v>
      </c>
      <c r="B10" s="17" t="s">
        <v>31</v>
      </c>
      <c r="C10" s="17" t="s">
        <v>26</v>
      </c>
      <c r="D10" s="15">
        <v>0.08</v>
      </c>
    </row>
    <row r="11" spans="1:4" x14ac:dyDescent="0.3">
      <c r="A11" s="17" t="str">
        <f t="shared" si="0"/>
        <v>Moderado-Desevolvimento</v>
      </c>
      <c r="B11" s="17" t="s">
        <v>31</v>
      </c>
      <c r="C11" s="17" t="s">
        <v>24</v>
      </c>
      <c r="D11" s="15">
        <v>0.05</v>
      </c>
    </row>
    <row r="12" spans="1:4" x14ac:dyDescent="0.3">
      <c r="A12" s="20" t="str">
        <f t="shared" si="0"/>
        <v>Moderado-Hotelaria</v>
      </c>
      <c r="B12" s="20" t="s">
        <v>31</v>
      </c>
      <c r="C12" t="s">
        <v>33</v>
      </c>
      <c r="D12" s="15">
        <v>0.05</v>
      </c>
    </row>
    <row r="13" spans="1:4" x14ac:dyDescent="0.3">
      <c r="A13" s="18" t="str">
        <f t="shared" si="0"/>
        <v>Moderado-FOFs</v>
      </c>
      <c r="B13" s="18" t="s">
        <v>31</v>
      </c>
      <c r="C13" s="17" t="s">
        <v>25</v>
      </c>
      <c r="D13" s="15">
        <v>0.1</v>
      </c>
    </row>
    <row r="14" spans="1:4" x14ac:dyDescent="0.3">
      <c r="A14" s="16" t="str">
        <f t="shared" si="0"/>
        <v>Agressivo-Papel</v>
      </c>
      <c r="B14" s="16" t="s">
        <v>32</v>
      </c>
      <c r="C14" s="16" t="s">
        <v>22</v>
      </c>
      <c r="D14" s="19">
        <v>0.5</v>
      </c>
    </row>
    <row r="15" spans="1:4" x14ac:dyDescent="0.3">
      <c r="A15" s="17" t="str">
        <f t="shared" si="0"/>
        <v>Agressivo-Tijolo</v>
      </c>
      <c r="B15" s="17" t="s">
        <v>32</v>
      </c>
      <c r="C15" s="17" t="s">
        <v>23</v>
      </c>
      <c r="D15" s="15">
        <v>0.1</v>
      </c>
    </row>
    <row r="16" spans="1:4" x14ac:dyDescent="0.3">
      <c r="A16" s="17" t="str">
        <f t="shared" si="0"/>
        <v>Agressivo-Híbridos</v>
      </c>
      <c r="B16" s="17" t="s">
        <v>32</v>
      </c>
      <c r="C16" s="17" t="s">
        <v>26</v>
      </c>
      <c r="D16" s="15">
        <v>0.05</v>
      </c>
    </row>
    <row r="17" spans="1:4" x14ac:dyDescent="0.3">
      <c r="A17" s="17" t="str">
        <f t="shared" si="0"/>
        <v>Agressivo-Desevolvimento</v>
      </c>
      <c r="B17" s="17" t="s">
        <v>32</v>
      </c>
      <c r="C17" s="17" t="s">
        <v>24</v>
      </c>
      <c r="D17" s="15">
        <v>0.2</v>
      </c>
    </row>
    <row r="18" spans="1:4" x14ac:dyDescent="0.3">
      <c r="A18" s="17" t="str">
        <f t="shared" si="0"/>
        <v>Agressivo-FOFs</v>
      </c>
      <c r="B18" s="17" t="s">
        <v>32</v>
      </c>
      <c r="C18" s="17" t="s">
        <v>25</v>
      </c>
      <c r="D18" s="15">
        <v>0.05</v>
      </c>
    </row>
    <row r="19" spans="1:4" x14ac:dyDescent="0.3">
      <c r="A19" s="17" t="str">
        <f t="shared" si="0"/>
        <v>Agressivo-Hotelaria</v>
      </c>
      <c r="B19" s="17" t="s">
        <v>32</v>
      </c>
      <c r="C19" t="s">
        <v>33</v>
      </c>
      <c r="D19" s="15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SIM</vt:lpstr>
      <vt:lpstr>BaseApoio</vt:lpstr>
      <vt:lpstr>aport</vt:lpstr>
      <vt:lpstr>patrimonio</vt:lpstr>
      <vt:lpstr>qtde_anos</vt:lpstr>
      <vt:lpstr>rendimento_carteira</vt:lpstr>
      <vt:lpstr>salario</vt:lpstr>
      <vt:lpstr>sugestao_investimento</vt:lpstr>
      <vt:lpstr>tx_mensal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Marrocos</dc:creator>
  <cp:lastModifiedBy>Guilherme Marrocos</cp:lastModifiedBy>
  <dcterms:created xsi:type="dcterms:W3CDTF">2026-09-07T19:55:03Z</dcterms:created>
  <dcterms:modified xsi:type="dcterms:W3CDTF">2026-09-10T19:37:29Z</dcterms:modified>
</cp:coreProperties>
</file>